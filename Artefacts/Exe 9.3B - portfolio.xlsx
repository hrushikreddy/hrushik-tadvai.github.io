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B27DE0-5B56-45EA-804A-3B2536AB2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1" l="1"/>
  <c r="L43" i="1"/>
  <c r="L44" i="1"/>
  <c r="L45" i="1"/>
  <c r="L46" i="1"/>
  <c r="L47" i="1"/>
  <c r="L41" i="1"/>
  <c r="I41" i="1" a="1"/>
  <c r="I41" i="1" s="1"/>
  <c r="F46" i="1"/>
  <c r="F45" i="1"/>
  <c r="F44" i="1"/>
  <c r="F42" i="1"/>
  <c r="F41" i="1"/>
  <c r="F40" i="1"/>
  <c r="I4" i="1" a="1"/>
  <c r="I5" i="1" s="1"/>
  <c r="F9" i="1"/>
  <c r="F8" i="1"/>
  <c r="F7" i="1"/>
  <c r="F5" i="1"/>
  <c r="F3" i="1"/>
  <c r="F4" i="1"/>
  <c r="I10" i="1" l="1"/>
  <c r="I6" i="1"/>
  <c r="I7" i="1"/>
  <c r="I8" i="1"/>
  <c r="I4" i="1"/>
  <c r="I9" i="1"/>
  <c r="I11" i="1" l="1"/>
  <c r="L5" i="1" s="1"/>
  <c r="L10" i="1"/>
  <c r="L9" i="1"/>
  <c r="L8" i="1" l="1"/>
  <c r="L4" i="1"/>
  <c r="L7" i="1"/>
  <c r="L6" i="1"/>
  <c r="L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<sst xmlns="http://schemas.openxmlformats.org/spreadsheetml/2006/main" count="131" uniqueCount="19">
  <si>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</si>
  <si>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</si>
  <si>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</si>
  <si>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</si>
  <si>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</si>
  <si>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</si>
  <si>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</si>
  <si>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</si>
  <si>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</si>
  <si>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</si>
  <si>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</si>
  <si>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</si>
  <si>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</si>
  <si>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</si>
  <si>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</si>
  <si>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</si>
  <si>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</si>
  <si>
    <t>Total</t>
  </si>
  <si>
    <t>Diet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</si>
</sst>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Diet 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numRef>
              <c:f>Diets!$K$4:$K$10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Diets!$L$4:$L$10</c:f>
              <c:numCache>
                <c:formatCode>0.00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4BFA-8779-FEBF50E3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0224512"/>
        <c:axId val="67326336"/>
      </c:barChart>
      <c:catAx>
        <c:axId val="5022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Weight Loss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7326336"/>
        <c:crosses val="autoZero"/>
        <c:auto val="1"/>
        <c:lblAlgn val="ctr"/>
        <c:lblOffset val="100"/>
        <c:noMultiLvlLbl val="0"/>
      </c:catAx>
      <c:valAx>
        <c:axId val="6732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Frequerncy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24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B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cat>
            <c:numRef>
              <c:f>Diets!$K$41:$K$47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Diets!$L$41:$L$47</c:f>
              <c:numCache>
                <c:formatCode>General</c:formatCode>
                <c:ptCount val="7"/>
                <c:pt idx="0">
                  <c:v>-0.33333333333333331</c:v>
                </c:pt>
                <c:pt idx="1">
                  <c:v>0.1</c:v>
                </c:pt>
                <c:pt idx="2">
                  <c:v>0.2</c:v>
                </c:pt>
                <c:pt idx="3">
                  <c:v>0.45454545454545453</c:v>
                </c:pt>
                <c:pt idx="4">
                  <c:v>0.875</c:v>
                </c:pt>
                <c:pt idx="5">
                  <c:v>4.5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B-4196-9813-AA655AF9D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0224512"/>
        <c:axId val="67326336"/>
      </c:barChart>
      <c:catAx>
        <c:axId val="5022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Weight Loss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7326336"/>
        <c:crosses val="autoZero"/>
        <c:auto val="1"/>
        <c:lblAlgn val="ctr"/>
        <c:lblOffset val="100"/>
        <c:noMultiLvlLbl val="0"/>
      </c:catAx>
      <c:valAx>
        <c:axId val="67326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Frequerncy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24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12</xdr:row>
      <xdr:rowOff>19049</xdr:rowOff>
    </xdr:from>
    <xdr:to>
      <xdr:col>10</xdr:col>
      <xdr:colOff>590549</xdr:colOff>
      <xdr:row>34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11</xdr:col>
      <xdr:colOff>571500</xdr:colOff>
      <xdr:row>72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A4839C-1EC2-455A-AFA1-36AADFE1E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13</xdr:row>
      <xdr:rowOff>85725</xdr:rowOff>
    </xdr:from>
    <xdr:to>
      <xdr:col>20</xdr:col>
      <xdr:colOff>19050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E23127-BA20-FE66-5A6E-5F89AD2B6081}"/>
            </a:ext>
          </a:extLst>
        </xdr:cNvPr>
        <xdr:cNvSpPr txBox="1"/>
      </xdr:nvSpPr>
      <xdr:spPr>
        <a:xfrm>
          <a:off x="8763000" y="2190750"/>
          <a:ext cx="3657600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These two graphs do demonstrate weight loss but weight loss is more prevalent in Diet</a:t>
          </a:r>
          <a:r>
            <a:rPr lang="en-GB" sz="1100" baseline="0"/>
            <a:t> B compared to A. Diet A follows a normal distribution of data with most weight loss around 5-7. B however is heavily skewed to the right hand side with majority of weight loss ranging above 9 and even above 11. This incicated B is the superior plan.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P28" sqref="P28"/>
    </sheetView>
  </sheetViews>
  <sheetFormatPr defaultRowHeight="12.75" x14ac:dyDescent="0.2"/>
  <cols>
    <col min="9" max="9" width="10.7109375" customWidth="1"/>
    <col min="12" max="12" width="10.7109375" customWidth="1"/>
  </cols>
  <sheetData>
    <row r="1" spans="1:12" x14ac:dyDescent="0.2">
      <c r="A1" s="1" t="s">
        <v>0</v>
      </c>
      <c r="B1" s="1" t="s">
        <v>1</v>
      </c>
    </row>
    <row r="2" spans="1:12" x14ac:dyDescent="0.2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H4" s="5">
        <v>0</v>
      </c>
      <c r="I4" s="5">
        <f t="array" ref="I4:I10">FREQUENCY(B2:B51,H4:H10)</f>
        <v>1</v>
      </c>
      <c r="K4" s="5">
        <v>-1</v>
      </c>
      <c r="L4" s="10">
        <f>I4/I$11</f>
        <v>0.02</v>
      </c>
    </row>
    <row r="5" spans="1:12" x14ac:dyDescent="0.2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 s="5">
        <v>2</v>
      </c>
      <c r="I5" s="5">
        <v>3</v>
      </c>
      <c r="K5" s="5">
        <v>1</v>
      </c>
      <c r="L5" s="10">
        <f t="shared" ref="L5:L10" si="0">I5/I$11</f>
        <v>0.06</v>
      </c>
    </row>
    <row r="6" spans="1:12" x14ac:dyDescent="0.2">
      <c r="A6" s="2" t="s">
        <v>2</v>
      </c>
      <c r="B6" s="3">
        <v>9.077</v>
      </c>
      <c r="F6" t="s">
        <v>11</v>
      </c>
      <c r="H6" s="5">
        <v>4</v>
      </c>
      <c r="I6" s="5">
        <v>10</v>
      </c>
      <c r="K6" s="5">
        <v>3</v>
      </c>
      <c r="L6" s="10">
        <f t="shared" si="0"/>
        <v>0.2</v>
      </c>
    </row>
    <row r="7" spans="1:12" x14ac:dyDescent="0.2">
      <c r="A7" s="2" t="s">
        <v>2</v>
      </c>
      <c r="B7" s="3">
        <v>6.4130000000000003</v>
      </c>
      <c r="E7" s="4" t="s">
        <v>9</v>
      </c>
      <c r="F7" s="6">
        <f>MIN(B2:B51)</f>
        <v>-1.7150000000000001</v>
      </c>
      <c r="H7" s="5">
        <v>6</v>
      </c>
      <c r="I7" s="5">
        <v>15</v>
      </c>
      <c r="K7" s="5">
        <v>5</v>
      </c>
      <c r="L7" s="10">
        <f t="shared" si="0"/>
        <v>0.3</v>
      </c>
    </row>
    <row r="8" spans="1:12" x14ac:dyDescent="0.2">
      <c r="A8" s="2" t="s">
        <v>2</v>
      </c>
      <c r="B8" s="3">
        <v>5.8769999999999998</v>
      </c>
      <c r="E8" s="4" t="s">
        <v>10</v>
      </c>
      <c r="F8" s="6">
        <f>MAX(B2:B51)</f>
        <v>10.061999999999999</v>
      </c>
      <c r="H8" s="5">
        <v>8</v>
      </c>
      <c r="I8" s="5">
        <v>15</v>
      </c>
      <c r="K8" s="5">
        <v>7</v>
      </c>
      <c r="L8" s="10">
        <f t="shared" si="0"/>
        <v>0.3</v>
      </c>
    </row>
    <row r="9" spans="1:12" x14ac:dyDescent="0.2">
      <c r="A9" s="2" t="s">
        <v>2</v>
      </c>
      <c r="B9" s="3">
        <v>2.5720000000000001</v>
      </c>
      <c r="E9" s="4" t="s">
        <v>8</v>
      </c>
      <c r="F9" s="6">
        <f>F8-F7</f>
        <v>11.776999999999999</v>
      </c>
      <c r="H9" s="5">
        <v>10</v>
      </c>
      <c r="I9" s="5">
        <v>5</v>
      </c>
      <c r="K9" s="5">
        <v>9</v>
      </c>
      <c r="L9" s="10">
        <f t="shared" si="0"/>
        <v>0.1</v>
      </c>
    </row>
    <row r="10" spans="1:12" x14ac:dyDescent="0.2">
      <c r="A10" s="2" t="s">
        <v>2</v>
      </c>
      <c r="B10" s="3">
        <v>7.52</v>
      </c>
      <c r="H10" s="5">
        <v>12</v>
      </c>
      <c r="I10" s="5">
        <v>1</v>
      </c>
      <c r="K10" s="5">
        <v>11</v>
      </c>
      <c r="L10" s="10">
        <f t="shared" si="0"/>
        <v>0.02</v>
      </c>
    </row>
    <row r="11" spans="1:12" x14ac:dyDescent="0.2">
      <c r="A11" s="2" t="s">
        <v>2</v>
      </c>
      <c r="B11" s="3">
        <v>6.8810000000000002</v>
      </c>
      <c r="H11" s="4" t="s">
        <v>17</v>
      </c>
      <c r="I11" s="4">
        <f>SUM(I4:I10)</f>
        <v>50</v>
      </c>
      <c r="K11" s="4" t="s">
        <v>17</v>
      </c>
      <c r="L11" s="4">
        <f>SUM(L4:L10)</f>
        <v>1</v>
      </c>
    </row>
    <row r="12" spans="1:12" x14ac:dyDescent="0.2">
      <c r="A12" s="2" t="s">
        <v>2</v>
      </c>
      <c r="B12" s="3">
        <v>7.2649999999999997</v>
      </c>
    </row>
    <row r="13" spans="1:12" x14ac:dyDescent="0.2">
      <c r="A13" s="2" t="s">
        <v>2</v>
      </c>
      <c r="B13" s="3">
        <v>3.4769999999999999</v>
      </c>
    </row>
    <row r="14" spans="1:12" x14ac:dyDescent="0.2">
      <c r="A14" s="2" t="s">
        <v>2</v>
      </c>
      <c r="B14" s="3">
        <v>3.7549999999999999</v>
      </c>
    </row>
    <row r="15" spans="1:12" x14ac:dyDescent="0.2">
      <c r="A15" s="2" t="s">
        <v>2</v>
      </c>
      <c r="B15" s="3">
        <v>8.76</v>
      </c>
    </row>
    <row r="16" spans="1:12" x14ac:dyDescent="0.2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12" x14ac:dyDescent="0.2">
      <c r="A33" s="2" t="s">
        <v>2</v>
      </c>
      <c r="B33" s="3">
        <v>5.0330000000000004</v>
      </c>
    </row>
    <row r="34" spans="1:12" x14ac:dyDescent="0.2">
      <c r="A34" s="2" t="s">
        <v>2</v>
      </c>
      <c r="B34" s="3">
        <v>5.569</v>
      </c>
    </row>
    <row r="35" spans="1:12" x14ac:dyDescent="0.2">
      <c r="A35" s="2" t="s">
        <v>2</v>
      </c>
      <c r="B35" s="3">
        <v>6.7119999999999997</v>
      </c>
    </row>
    <row r="36" spans="1:12" x14ac:dyDescent="0.2">
      <c r="A36" s="2" t="s">
        <v>2</v>
      </c>
      <c r="B36" s="3">
        <v>3.6629999999999998</v>
      </c>
    </row>
    <row r="37" spans="1:12" x14ac:dyDescent="0.2">
      <c r="A37" s="2" t="s">
        <v>2</v>
      </c>
      <c r="B37" s="3">
        <v>2.7410000000000001</v>
      </c>
    </row>
    <row r="38" spans="1:12" x14ac:dyDescent="0.2">
      <c r="A38" s="2" t="s">
        <v>2</v>
      </c>
      <c r="B38" s="3">
        <v>6.2560000000000002</v>
      </c>
    </row>
    <row r="39" spans="1:12" x14ac:dyDescent="0.2">
      <c r="A39" s="2" t="s">
        <v>2</v>
      </c>
      <c r="B39" s="3">
        <v>5.3490000000000002</v>
      </c>
      <c r="K39" s="4" t="s">
        <v>13</v>
      </c>
      <c r="L39" s="4" t="s">
        <v>15</v>
      </c>
    </row>
    <row r="40" spans="1:12" x14ac:dyDescent="0.2">
      <c r="A40" s="2" t="s">
        <v>2</v>
      </c>
      <c r="B40" s="3">
        <v>7.3</v>
      </c>
      <c r="D40" s="4" t="s">
        <v>18</v>
      </c>
      <c r="E40" s="4" t="s">
        <v>5</v>
      </c>
      <c r="F40" s="10">
        <f>COUNT(B52:B101)</f>
        <v>50</v>
      </c>
      <c r="H40" s="4" t="s">
        <v>12</v>
      </c>
      <c r="I40" s="4" t="s">
        <v>16</v>
      </c>
      <c r="K40" s="4" t="s">
        <v>14</v>
      </c>
      <c r="L40" s="4" t="s">
        <v>16</v>
      </c>
    </row>
    <row r="41" spans="1:12" x14ac:dyDescent="0.2">
      <c r="A41" s="2" t="s">
        <v>2</v>
      </c>
      <c r="B41" s="3">
        <v>5.4450000000000003</v>
      </c>
      <c r="E41" s="4" t="s">
        <v>6</v>
      </c>
      <c r="F41" s="10">
        <f>AVERAGE(B52:B101)</f>
        <v>3.709960000000001</v>
      </c>
      <c r="H41" s="5">
        <v>0</v>
      </c>
      <c r="I41" cm="1">
        <f t="array" ref="I41:I48">FREQUENCY(B52:B101,H41:H47)</f>
        <v>3</v>
      </c>
      <c r="K41" s="5">
        <v>-1</v>
      </c>
      <c r="L41">
        <f>K41/I41</f>
        <v>-0.33333333333333331</v>
      </c>
    </row>
    <row r="42" spans="1:12" x14ac:dyDescent="0.2">
      <c r="A42" s="2" t="s">
        <v>2</v>
      </c>
      <c r="B42" s="3">
        <v>4.97</v>
      </c>
      <c r="E42" s="4" t="s">
        <v>7</v>
      </c>
      <c r="F42" s="10">
        <f>STDEV(B52:B101)</f>
        <v>2.7690419986349206</v>
      </c>
      <c r="H42" s="5">
        <v>2</v>
      </c>
      <c r="I42">
        <v>10</v>
      </c>
      <c r="K42" s="5">
        <v>1</v>
      </c>
      <c r="L42">
        <f t="shared" ref="L42:L47" si="1">K42/I42</f>
        <v>0.1</v>
      </c>
    </row>
    <row r="43" spans="1:12" x14ac:dyDescent="0.2">
      <c r="A43" s="2" t="s">
        <v>2</v>
      </c>
      <c r="B43" s="3">
        <v>3.613</v>
      </c>
      <c r="H43" s="5">
        <v>4</v>
      </c>
      <c r="I43">
        <v>15</v>
      </c>
      <c r="K43" s="5">
        <v>3</v>
      </c>
      <c r="L43">
        <f t="shared" si="1"/>
        <v>0.2</v>
      </c>
    </row>
    <row r="44" spans="1:12" x14ac:dyDescent="0.2">
      <c r="A44" s="2" t="s">
        <v>2</v>
      </c>
      <c r="B44" s="3">
        <v>7.5679999999999996</v>
      </c>
      <c r="E44" s="4" t="s">
        <v>9</v>
      </c>
      <c r="F44" s="11">
        <f>MIN(B52:B101)</f>
        <v>-4.1479999999999997</v>
      </c>
      <c r="H44" s="5">
        <v>6</v>
      </c>
      <c r="I44">
        <v>11</v>
      </c>
      <c r="K44" s="5">
        <v>5</v>
      </c>
      <c r="L44">
        <f t="shared" si="1"/>
        <v>0.45454545454545453</v>
      </c>
    </row>
    <row r="45" spans="1:12" x14ac:dyDescent="0.2">
      <c r="A45" s="2" t="s">
        <v>2</v>
      </c>
      <c r="B45" s="3">
        <v>5.8609999999999998</v>
      </c>
      <c r="E45" s="4" t="s">
        <v>10</v>
      </c>
      <c r="F45" s="11">
        <f>MAX(B52:B101)</f>
        <v>10.539</v>
      </c>
      <c r="H45" s="5">
        <v>8</v>
      </c>
      <c r="I45">
        <v>8</v>
      </c>
      <c r="K45" s="5">
        <v>7</v>
      </c>
      <c r="L45">
        <f t="shared" si="1"/>
        <v>0.875</v>
      </c>
    </row>
    <row r="46" spans="1:12" x14ac:dyDescent="0.2">
      <c r="A46" s="2" t="s">
        <v>2</v>
      </c>
      <c r="B46" s="3">
        <v>4.157</v>
      </c>
      <c r="E46" s="4" t="s">
        <v>8</v>
      </c>
      <c r="F46" s="11">
        <f>F45-F44</f>
        <v>14.686999999999999</v>
      </c>
      <c r="H46" s="5">
        <v>10</v>
      </c>
      <c r="I46">
        <v>2</v>
      </c>
      <c r="K46" s="5">
        <v>9</v>
      </c>
      <c r="L46">
        <f t="shared" si="1"/>
        <v>4.5</v>
      </c>
    </row>
    <row r="47" spans="1:12" x14ac:dyDescent="0.2">
      <c r="A47" s="2" t="s">
        <v>2</v>
      </c>
      <c r="B47" s="3">
        <v>0.20300000000000001</v>
      </c>
      <c r="H47" s="5">
        <v>12</v>
      </c>
      <c r="I47">
        <v>1</v>
      </c>
      <c r="K47" s="5">
        <v>11</v>
      </c>
      <c r="L47">
        <f t="shared" si="1"/>
        <v>11</v>
      </c>
    </row>
    <row r="48" spans="1:12" x14ac:dyDescent="0.2">
      <c r="A48" s="2" t="s">
        <v>2</v>
      </c>
      <c r="B48" s="3">
        <v>4.4409999999999998</v>
      </c>
      <c r="H48" s="5">
        <v>14</v>
      </c>
      <c r="I48">
        <v>0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3</v>
      </c>
      <c r="B52" s="3">
        <v>-1.087</v>
      </c>
    </row>
    <row r="53" spans="1:2" x14ac:dyDescent="0.2">
      <c r="A53" s="2" t="s">
        <v>3</v>
      </c>
      <c r="B53" s="3">
        <v>1.819</v>
      </c>
    </row>
    <row r="54" spans="1:2" x14ac:dyDescent="0.2">
      <c r="A54" s="2" t="s">
        <v>3</v>
      </c>
      <c r="B54" s="3">
        <v>7.3999999999999996E-2</v>
      </c>
    </row>
    <row r="55" spans="1:2" x14ac:dyDescent="0.2">
      <c r="A55" s="2" t="s">
        <v>3</v>
      </c>
      <c r="B55" s="3">
        <v>1.7549999999999999</v>
      </c>
    </row>
    <row r="56" spans="1:2" x14ac:dyDescent="0.2">
      <c r="A56" s="2" t="s">
        <v>3</v>
      </c>
      <c r="B56" s="3">
        <v>1.889</v>
      </c>
    </row>
    <row r="57" spans="1:2" x14ac:dyDescent="0.2">
      <c r="A57" s="2" t="s">
        <v>3</v>
      </c>
      <c r="B57" s="3">
        <v>3.089</v>
      </c>
    </row>
    <row r="58" spans="1:2" x14ac:dyDescent="0.2">
      <c r="A58" s="2" t="s">
        <v>3</v>
      </c>
      <c r="B58" s="3">
        <v>4.008</v>
      </c>
    </row>
    <row r="59" spans="1:2" x14ac:dyDescent="0.2">
      <c r="A59" s="2" t="s">
        <v>3</v>
      </c>
      <c r="B59" s="3">
        <v>4.5510000000000002</v>
      </c>
    </row>
    <row r="60" spans="1:2" x14ac:dyDescent="0.2">
      <c r="A60" s="2" t="s">
        <v>3</v>
      </c>
      <c r="B60" s="3">
        <v>1.3720000000000001</v>
      </c>
    </row>
    <row r="61" spans="1:2" x14ac:dyDescent="0.2">
      <c r="A61" s="2" t="s">
        <v>3</v>
      </c>
      <c r="B61" s="3">
        <v>3.4129999999999998</v>
      </c>
    </row>
    <row r="62" spans="1:2" x14ac:dyDescent="0.2">
      <c r="A62" s="2" t="s">
        <v>3</v>
      </c>
      <c r="B62" s="3">
        <v>-4.1479999999999997</v>
      </c>
    </row>
    <row r="63" spans="1:2" x14ac:dyDescent="0.2">
      <c r="A63" s="2" t="s">
        <v>3</v>
      </c>
      <c r="B63" s="3">
        <v>2.823</v>
      </c>
    </row>
    <row r="64" spans="1:2" x14ac:dyDescent="0.2">
      <c r="A64" s="2" t="s">
        <v>3</v>
      </c>
      <c r="B64" s="3">
        <v>2.8650000000000002</v>
      </c>
    </row>
    <row r="65" spans="1:2" x14ac:dyDescent="0.2">
      <c r="A65" s="2" t="s">
        <v>3</v>
      </c>
      <c r="B65" s="3">
        <v>4.3689999999999998</v>
      </c>
    </row>
    <row r="66" spans="1:2" x14ac:dyDescent="0.2">
      <c r="A66" s="2" t="s">
        <v>3</v>
      </c>
      <c r="B66" s="3">
        <v>6.3369999999999997</v>
      </c>
    </row>
    <row r="67" spans="1:2" x14ac:dyDescent="0.2">
      <c r="A67" s="2" t="s">
        <v>3</v>
      </c>
      <c r="B67" s="3">
        <v>6.3079999999999998</v>
      </c>
    </row>
    <row r="68" spans="1:2" x14ac:dyDescent="0.2">
      <c r="A68" s="2" t="s">
        <v>3</v>
      </c>
      <c r="B68" s="3">
        <v>3.4940000000000002</v>
      </c>
    </row>
    <row r="69" spans="1:2" x14ac:dyDescent="0.2">
      <c r="A69" s="2" t="s">
        <v>3</v>
      </c>
      <c r="B69" s="3">
        <v>10.539</v>
      </c>
    </row>
    <row r="70" spans="1:2" x14ac:dyDescent="0.2">
      <c r="A70" s="2" t="s">
        <v>3</v>
      </c>
      <c r="B70" s="3">
        <v>3.84</v>
      </c>
    </row>
    <row r="71" spans="1:2" x14ac:dyDescent="0.2">
      <c r="A71" s="2" t="s">
        <v>3</v>
      </c>
      <c r="B71" s="3">
        <v>5.1230000000000002</v>
      </c>
    </row>
    <row r="72" spans="1:2" x14ac:dyDescent="0.2">
      <c r="A72" s="2" t="s">
        <v>3</v>
      </c>
      <c r="B72" s="3">
        <v>5.4850000000000003</v>
      </c>
    </row>
    <row r="73" spans="1:2" x14ac:dyDescent="0.2">
      <c r="A73" s="2" t="s">
        <v>3</v>
      </c>
      <c r="B73" s="3">
        <v>-1.8939999999999999</v>
      </c>
    </row>
    <row r="74" spans="1:2" x14ac:dyDescent="0.2">
      <c r="A74" s="2" t="s">
        <v>3</v>
      </c>
      <c r="B74" s="3">
        <v>8.016</v>
      </c>
    </row>
    <row r="75" spans="1:2" x14ac:dyDescent="0.2">
      <c r="A75" s="2" t="s">
        <v>3</v>
      </c>
      <c r="B75" s="3">
        <v>2.31</v>
      </c>
    </row>
    <row r="76" spans="1:2" x14ac:dyDescent="0.2">
      <c r="A76" s="2" t="s">
        <v>3</v>
      </c>
      <c r="B76" s="3">
        <v>3.8820000000000001</v>
      </c>
    </row>
    <row r="77" spans="1:2" x14ac:dyDescent="0.2">
      <c r="A77" s="2" t="s">
        <v>3</v>
      </c>
      <c r="B77" s="3">
        <v>7.03</v>
      </c>
    </row>
    <row r="78" spans="1:2" x14ac:dyDescent="0.2">
      <c r="A78" s="2" t="s">
        <v>3</v>
      </c>
      <c r="B78" s="3">
        <v>7.7270000000000003</v>
      </c>
    </row>
    <row r="79" spans="1:2" x14ac:dyDescent="0.2">
      <c r="A79" s="2" t="s">
        <v>3</v>
      </c>
      <c r="B79" s="3">
        <v>0.105</v>
      </c>
    </row>
    <row r="80" spans="1:2" x14ac:dyDescent="0.2">
      <c r="A80" s="2" t="s">
        <v>3</v>
      </c>
      <c r="B80" s="3">
        <v>3.65</v>
      </c>
    </row>
    <row r="81" spans="1:2" x14ac:dyDescent="0.2">
      <c r="A81" s="2" t="s">
        <v>3</v>
      </c>
      <c r="B81" s="3">
        <v>4.5469999999999997</v>
      </c>
    </row>
    <row r="82" spans="1:2" x14ac:dyDescent="0.2">
      <c r="A82" s="2" t="s">
        <v>3</v>
      </c>
      <c r="B82" s="3">
        <v>4.9850000000000003</v>
      </c>
    </row>
    <row r="83" spans="1:2" x14ac:dyDescent="0.2">
      <c r="A83" s="2" t="s">
        <v>3</v>
      </c>
      <c r="B83" s="3">
        <v>5.1589999999999998</v>
      </c>
    </row>
    <row r="84" spans="1:2" x14ac:dyDescent="0.2">
      <c r="A84" s="2" t="s">
        <v>3</v>
      </c>
      <c r="B84" s="3">
        <v>4.76</v>
      </c>
    </row>
    <row r="85" spans="1:2" x14ac:dyDescent="0.2">
      <c r="A85" s="2" t="s">
        <v>3</v>
      </c>
      <c r="B85" s="3">
        <v>4.9340000000000002</v>
      </c>
    </row>
    <row r="86" spans="1:2" x14ac:dyDescent="0.2">
      <c r="A86" s="2" t="s">
        <v>3</v>
      </c>
      <c r="B86" s="3">
        <v>3.1059999999999999</v>
      </c>
    </row>
    <row r="87" spans="1:2" x14ac:dyDescent="0.2">
      <c r="A87" s="2" t="s">
        <v>3</v>
      </c>
      <c r="B87" s="3">
        <v>5.5979999999999999</v>
      </c>
    </row>
    <row r="88" spans="1:2" x14ac:dyDescent="0.2">
      <c r="A88" s="2" t="s">
        <v>3</v>
      </c>
      <c r="B88" s="3">
        <v>2.1619999999999999</v>
      </c>
    </row>
    <row r="89" spans="1:2" x14ac:dyDescent="0.2">
      <c r="A89" s="2" t="s">
        <v>3</v>
      </c>
      <c r="B89" s="3">
        <v>6.52</v>
      </c>
    </row>
    <row r="90" spans="1:2" x14ac:dyDescent="0.2">
      <c r="A90" s="2" t="s">
        <v>3</v>
      </c>
      <c r="B90" s="3">
        <v>7.0460000000000003</v>
      </c>
    </row>
    <row r="91" spans="1:2" x14ac:dyDescent="0.2">
      <c r="A91" s="2" t="s">
        <v>3</v>
      </c>
      <c r="B91" s="3">
        <v>1.7569999999999999</v>
      </c>
    </row>
    <row r="92" spans="1:2" x14ac:dyDescent="0.2">
      <c r="A92" s="2" t="s">
        <v>3</v>
      </c>
      <c r="B92" s="3">
        <v>1.8480000000000001</v>
      </c>
    </row>
    <row r="93" spans="1:2" x14ac:dyDescent="0.2">
      <c r="A93" s="2" t="s">
        <v>3</v>
      </c>
      <c r="B93" s="3">
        <v>1.0960000000000001</v>
      </c>
    </row>
    <row r="94" spans="1:2" x14ac:dyDescent="0.2">
      <c r="A94" s="2" t="s">
        <v>3</v>
      </c>
      <c r="B94" s="3">
        <v>2.145</v>
      </c>
    </row>
    <row r="95" spans="1:2" x14ac:dyDescent="0.2">
      <c r="A95" s="2" t="s">
        <v>3</v>
      </c>
      <c r="B95" s="3">
        <v>8.4350000000000005</v>
      </c>
    </row>
    <row r="96" spans="1:2" x14ac:dyDescent="0.2">
      <c r="A96" s="2" t="s">
        <v>3</v>
      </c>
      <c r="B96" s="3">
        <v>6.0990000000000002</v>
      </c>
    </row>
    <row r="97" spans="1:2" x14ac:dyDescent="0.2">
      <c r="A97" s="2" t="s">
        <v>3</v>
      </c>
      <c r="B97" s="3">
        <v>3.972</v>
      </c>
    </row>
    <row r="98" spans="1:2" x14ac:dyDescent="0.2">
      <c r="A98" s="2" t="s">
        <v>3</v>
      </c>
      <c r="B98" s="3">
        <v>2.4089999999999998</v>
      </c>
    </row>
    <row r="99" spans="1:2" x14ac:dyDescent="0.2">
      <c r="A99" s="2" t="s">
        <v>3</v>
      </c>
      <c r="B99" s="3">
        <v>0.56899999999999995</v>
      </c>
    </row>
    <row r="100" spans="1:2" x14ac:dyDescent="0.2">
      <c r="A100" s="2" t="s">
        <v>3</v>
      </c>
      <c r="B100" s="3">
        <v>7.0129999999999999</v>
      </c>
    </row>
    <row r="101" spans="1:2" x14ac:dyDescent="0.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PG-Tadvai, Hrushik</cp:lastModifiedBy>
  <dcterms:created xsi:type="dcterms:W3CDTF">2006-09-15T14:24:12Z</dcterms:created>
  <dcterms:modified xsi:type="dcterms:W3CDTF">2025-04-06T23:35:32Z</dcterms:modified>
</cp:coreProperties>
</file>